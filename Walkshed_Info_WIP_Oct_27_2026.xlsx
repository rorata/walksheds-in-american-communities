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9"/>
  <workbookPr defaultThemeVersion="166925"/>
  <xr:revisionPtr revIDLastSave="0" documentId="8_{0EFE68D3-3DB0-463B-BEDC-E20F25C0054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48" i="1" l="1"/>
  <c r="U39" i="1"/>
  <c r="U38" i="1"/>
  <c r="U37" i="1"/>
  <c r="U36" i="1"/>
  <c r="U30" i="1"/>
  <c r="U35" i="1"/>
  <c r="U43" i="1"/>
  <c r="U44" i="1"/>
  <c r="V46" i="1"/>
  <c r="U34" i="1"/>
  <c r="U40" i="1"/>
  <c r="U41" i="1"/>
  <c r="U42" i="1"/>
  <c r="U33" i="1"/>
  <c r="U22" i="1"/>
  <c r="U23" i="1"/>
  <c r="U24" i="1"/>
  <c r="U25" i="1"/>
  <c r="U27" i="1"/>
  <c r="U32" i="1"/>
  <c r="U29" i="1"/>
  <c r="U18" i="1"/>
  <c r="U19" i="1"/>
  <c r="U21" i="1"/>
  <c r="U26" i="1"/>
  <c r="U28" i="1"/>
  <c r="U31" i="1"/>
  <c r="U17" i="1"/>
  <c r="U16" i="1"/>
  <c r="U15" i="1"/>
  <c r="U7" i="1"/>
  <c r="U8" i="1"/>
  <c r="U14" i="1"/>
  <c r="U10" i="1"/>
  <c r="U11" i="1"/>
  <c r="U12" i="1"/>
  <c r="U13" i="1"/>
  <c r="U9" i="1"/>
  <c r="U5" i="1"/>
  <c r="U6" i="1"/>
  <c r="U4" i="1"/>
  <c r="U3" i="1"/>
  <c r="I46" i="1"/>
  <c r="I55" i="1"/>
  <c r="I49" i="1"/>
</calcChain>
</file>

<file path=xl/sharedStrings.xml><?xml version="1.0" encoding="utf-8"?>
<sst xmlns="http://schemas.openxmlformats.org/spreadsheetml/2006/main" count="272" uniqueCount="212">
  <si>
    <t>params names</t>
  </si>
  <si>
    <t>R info</t>
  </si>
  <si>
    <t>bbox</t>
  </si>
  <si>
    <t>PBF</t>
  </si>
  <si>
    <t>routing</t>
  </si>
  <si>
    <t>city</t>
  </si>
  <si>
    <t>state</t>
  </si>
  <si>
    <t>states</t>
  </si>
  <si>
    <r>
      <rPr>
        <sz val="11"/>
        <color rgb="FF000000"/>
        <rFont val="Calibri"/>
        <scheme val="minor"/>
      </rPr>
      <t>CSA name ("NAME" in "</t>
    </r>
    <r>
      <rPr>
        <b/>
        <sz val="11"/>
        <color rgb="FF000000"/>
        <rFont val="Calibri"/>
        <scheme val="minor"/>
      </rPr>
      <t>cbsa</t>
    </r>
    <r>
      <rPr>
        <sz val="11"/>
        <color rgb="FF000000"/>
        <rFont val="Calibri"/>
        <scheme val="minor"/>
      </rPr>
      <t>")</t>
    </r>
  </si>
  <si>
    <r>
      <rPr>
        <sz val="11"/>
        <color rgb="FF000000"/>
        <rFont val="Calibri"/>
        <scheme val="minor"/>
      </rPr>
      <t>Extended CSA name ("NAMELSAD" in "</t>
    </r>
    <r>
      <rPr>
        <b/>
        <sz val="11"/>
        <color rgb="FF000000"/>
        <rFont val="Calibri"/>
        <scheme val="minor"/>
      </rPr>
      <t>cbsa</t>
    </r>
    <r>
      <rPr>
        <sz val="11"/>
        <color rgb="FF000000"/>
        <rFont val="Calibri"/>
        <scheme val="minor"/>
      </rPr>
      <t>")</t>
    </r>
  </si>
  <si>
    <t>number of tracts (before RUCA filtering) (tracts)</t>
  </si>
  <si>
    <t>number of tracts (filtered urban) (urban_tracts)</t>
  </si>
  <si>
    <t>total pop (before filtering tracts) (total_pre_ruca_population)</t>
  </si>
  <si>
    <t>total pop (of filtered tracts) (urban_population)</t>
  </si>
  <si>
    <t>did other CBSAs have to be filtered out? (NAME10 map)</t>
  </si>
  <si>
    <t>are additional detached tracts/polygons present? (leave blank if none)</t>
  </si>
  <si>
    <t>xmin</t>
  </si>
  <si>
    <t>ymin</t>
  </si>
  <si>
    <t>xmax</t>
  </si>
  <si>
    <t>ymax</t>
  </si>
  <si>
    <t>PBF sent to email?</t>
  </si>
  <si>
    <t>PBF folder created + file added? (on Amanda's laptop)</t>
  </si>
  <si>
    <t>walksheds generated and saved?</t>
  </si>
  <si>
    <t>walksheds_df (with walkshed areas) created and saved?</t>
  </si>
  <si>
    <t>number of tracts in walksheds_df?</t>
  </si>
  <si>
    <t>how many walksheds weren't created for the tracts (urban_tracts_df - walksheds)?</t>
  </si>
  <si>
    <t>population count (for walksheds_df)</t>
  </si>
  <si>
    <t>number of tracts in RUCA_1_tracts?</t>
  </si>
  <si>
    <t>how many walksheds weren't created for the tracts (walksheds_df - RUCA_1_tracts)?</t>
  </si>
  <si>
    <t>population count (for RUCA_1_tracts)</t>
  </si>
  <si>
    <t>New York</t>
  </si>
  <si>
    <t>("New York", "New Jersey", "Pennsylvania")</t>
  </si>
  <si>
    <t>New York-Newark-Jersey City, NY-NJ-PA</t>
  </si>
  <si>
    <t>New York-Newark-Jersey City, NY-NJ-PA Metro Area</t>
  </si>
  <si>
    <t>yes, some small islands/tracts present (separated by water)</t>
  </si>
  <si>
    <t>* took ~30 hours to run (~17 for chunk 1, ~13 for chunk 2)</t>
  </si>
  <si>
    <t>Los Angeles</t>
  </si>
  <si>
    <t>California</t>
  </si>
  <si>
    <t>Los Angeles-Long Beach-Anaheim, CA</t>
  </si>
  <si>
    <t>Los Angeles-Long Beach-Anaheim, CA Metro Area</t>
  </si>
  <si>
    <t>Chicago</t>
  </si>
  <si>
    <t>Illinois</t>
  </si>
  <si>
    <t>("Illinois", "Indiana", "Wisconsin")</t>
  </si>
  <si>
    <t>Chicago-Naperville-Elgin, IL-IN-WI</t>
  </si>
  <si>
    <t>Chicago-Naperville-Elgin, IL-IN-WI Metro Area</t>
  </si>
  <si>
    <t>Dallas</t>
  </si>
  <si>
    <t>Texas</t>
  </si>
  <si>
    <t>Dallas-Fort Worth-Arlington, TX</t>
  </si>
  <si>
    <t>Dallas-Fort Worth-Arlington, TX Metro Area</t>
  </si>
  <si>
    <t>Houston</t>
  </si>
  <si>
    <t>Houston-The Woodlands-Sugar Land, TX</t>
  </si>
  <si>
    <t>Houston-The Woodlands-Sugar Land, TX Metro Area</t>
  </si>
  <si>
    <t>Washington</t>
  </si>
  <si>
    <t>District of Columbia</t>
  </si>
  <si>
    <t>("District of Columbia", "Virginia", "Maryland", "West Virginia")</t>
  </si>
  <si>
    <t>Washington-Arlington-Alexandria, DC-VA-MD-WV</t>
  </si>
  <si>
    <t>Washington-Arlington-Alexandria, DC-VA-MD-WV Metro Area</t>
  </si>
  <si>
    <t>yes (4 initially present)</t>
  </si>
  <si>
    <t>yes, 1 disconnected tract</t>
  </si>
  <si>
    <t>Philadelphia</t>
  </si>
  <si>
    <t>Pennsylvania</t>
  </si>
  <si>
    <t>("Pennsylvania", "New Jersey", "Delaware", "Maryland")</t>
  </si>
  <si>
    <t>Philadelphia-Camden-Wilmington, PA-NJ-DE-MD</t>
  </si>
  <si>
    <t>Philadelphia-Camden-Wilmington, PA-NJ-DE-MD Metro Area</t>
  </si>
  <si>
    <t>yes (2 initially present)</t>
  </si>
  <si>
    <t>Miami</t>
  </si>
  <si>
    <t>Florida</t>
  </si>
  <si>
    <t>Miami-Fort Lauderdale-Pompano Beach, FL</t>
  </si>
  <si>
    <t>Miami-Fort Lauderdale-Pompano Beach, FL Metro Area</t>
  </si>
  <si>
    <t>Atlanta</t>
  </si>
  <si>
    <t>Georgia</t>
  </si>
  <si>
    <t>Atlanta-Sandy Springs-Alpharetta, GA</t>
  </si>
  <si>
    <t>Atlanta-Sandy Springs-Alpharetta, GA Metro Area</t>
  </si>
  <si>
    <t>Boston</t>
  </si>
  <si>
    <t>Massachusetts</t>
  </si>
  <si>
    <t>("Massachusetts", "New Hampshire")</t>
  </si>
  <si>
    <t>Boston-Cambridge-Newton, MA-NH</t>
  </si>
  <si>
    <t>Boston-Cambridge-Newton, MA-NH Metro Area</t>
  </si>
  <si>
    <t>Phoenix</t>
  </si>
  <si>
    <t>Arizona</t>
  </si>
  <si>
    <t>Phoenix-Mesa-Chandler, AZ</t>
  </si>
  <si>
    <t>Phoenix-Mesa-Chandler, AZ Metro Area</t>
  </si>
  <si>
    <t>San Francisco</t>
  </si>
  <si>
    <t>San Francisco-Oakland-Berkeley, CA</t>
  </si>
  <si>
    <t>San Francisco-Oakland-Berkeley, CA Metro Area</t>
  </si>
  <si>
    <t>yes, but connected via bridges</t>
  </si>
  <si>
    <t>Riverside</t>
  </si>
  <si>
    <t>Riverside-San Bernardino-Ontario, CA</t>
  </si>
  <si>
    <t>Riverside-San Bernardino-Ontario, CA Metro Area</t>
  </si>
  <si>
    <t>yes, several areas disconnected and/or distant from more urbanized areas</t>
  </si>
  <si>
    <t>Detroit</t>
  </si>
  <si>
    <t>Michigan</t>
  </si>
  <si>
    <t>Detroit-Warren-Dearborn, MI</t>
  </si>
  <si>
    <t>Detroit-Warren-Dearborn, MI Metro Area</t>
  </si>
  <si>
    <t>Seattle</t>
  </si>
  <si>
    <t>Seattle-Tacoma-Bellevue, WA</t>
  </si>
  <si>
    <t>Seattle-Tacoma-Bellevue, WA Metro Area</t>
  </si>
  <si>
    <t>yes, some small islands/tracts present (separated by water) (check if bridges present)</t>
  </si>
  <si>
    <t>Minneapolis</t>
  </si>
  <si>
    <t>Minnesota</t>
  </si>
  <si>
    <t>("Minnesota", "Wisconsin")</t>
  </si>
  <si>
    <t>Minneapolis-St. Paul-Bloomington, MN-WI</t>
  </si>
  <si>
    <t>Minneapolis-St. Paul-Bloomington, MN-WI Metro Area</t>
  </si>
  <si>
    <t>San Diego</t>
  </si>
  <si>
    <t>San Diego-Chula Vista-Carlsbad, CA</t>
  </si>
  <si>
    <t>San Diego-Chula Vista-Carlsbad, CA Metro Area</t>
  </si>
  <si>
    <t>Tampa</t>
  </si>
  <si>
    <t>Tampa-St. Petersburg-Clearwater, FL</t>
  </si>
  <si>
    <t>Tampa-St. Petersburg-Clearwater, FL Metro Area</t>
  </si>
  <si>
    <t>* encountered an issue with routing walksheds, as experienced in my undergraduate thesis ~2 years ago.</t>
  </si>
  <si>
    <t>Denver</t>
  </si>
  <si>
    <t>Colorado</t>
  </si>
  <si>
    <t>Denver-Aurora-Lakewood, CO</t>
  </si>
  <si>
    <t>Denver-Aurora-Lakewood, CO Metro Area</t>
  </si>
  <si>
    <t>Baltimore</t>
  </si>
  <si>
    <t>Maryland</t>
  </si>
  <si>
    <t>Baltimore-Columbia-Towson, MD</t>
  </si>
  <si>
    <t>Baltimore-Columbia-Towson, MD Metro Area</t>
  </si>
  <si>
    <t>yes, several areas disconnected from the remaining urbanized tracts</t>
  </si>
  <si>
    <t>St. Louis</t>
  </si>
  <si>
    <t>Missouri</t>
  </si>
  <si>
    <t>("Missouri", "Illinois")</t>
  </si>
  <si>
    <t>St. Louis, MO-IL</t>
  </si>
  <si>
    <t>St. Louis, MO-IL Metro Area</t>
  </si>
  <si>
    <t>yes, 2 tracts disconnected from the remaining urbanized tracts</t>
  </si>
  <si>
    <t>Orlando</t>
  </si>
  <si>
    <t>Orlando-Kissimmee-Sanford, FL</t>
  </si>
  <si>
    <t>Orlando-Kissimmee-Sanford, FL Metro Area</t>
  </si>
  <si>
    <t>Charlotte</t>
  </si>
  <si>
    <t>North Carolina</t>
  </si>
  <si>
    <t>("North Carolina", "South Carolina")</t>
  </si>
  <si>
    <t>Charlotte-Concord-Gastonia, NC-SC</t>
  </si>
  <si>
    <t>Charlotte-Concord-Gastonia, NC-SC Metro Area</t>
  </si>
  <si>
    <t>Portland</t>
  </si>
  <si>
    <t>Oregon</t>
  </si>
  <si>
    <t>("Oregon", "Washington")</t>
  </si>
  <si>
    <t>Portland-Vancouver-Hillsboro, OR-WA</t>
  </si>
  <si>
    <t>Portland-Vancouver-Hillsboro, OR-WA Metro Area</t>
  </si>
  <si>
    <t>San Antonio</t>
  </si>
  <si>
    <t>San Antonio-New Braunfels, TX</t>
  </si>
  <si>
    <t>San Antonio-New Braunfels, TX Metro Area</t>
  </si>
  <si>
    <t>Sacramento</t>
  </si>
  <si>
    <t>Sacramento-Roseville-Folsom, CA</t>
  </si>
  <si>
    <t>Sacramento-Roseville-Folsom, CA Metro Area</t>
  </si>
  <si>
    <t>yes, &lt;10 separated by rural spaces</t>
  </si>
  <si>
    <t>Pittsburgh</t>
  </si>
  <si>
    <t>Pittsburgh, PA</t>
  </si>
  <si>
    <t>Pittsburgh, PA Metro Area</t>
  </si>
  <si>
    <t>Austin</t>
  </si>
  <si>
    <t>Austin-Round Rock-Georgetown, TX</t>
  </si>
  <si>
    <t>Austin-Round Rock-Georgetown, TX Metro Area</t>
  </si>
  <si>
    <t>Las Vegas</t>
  </si>
  <si>
    <t>Nevada</t>
  </si>
  <si>
    <t>Las Vegas-Henderson-Paradise, NV</t>
  </si>
  <si>
    <t>Las Vegas-Henderson-Paradise, NV Metro Area</t>
  </si>
  <si>
    <t>Cincinnati</t>
  </si>
  <si>
    <t>Ohio</t>
  </si>
  <si>
    <t>("Ohio", "Kentucky", "Indiana")</t>
  </si>
  <si>
    <t>Cincinnati, OH-KY-IN</t>
  </si>
  <si>
    <t>Cincinnati, OH-KY-IN Metro Area</t>
  </si>
  <si>
    <t>Cleveland</t>
  </si>
  <si>
    <t>Cleveland-Elyria, OH</t>
  </si>
  <si>
    <t>Cleveland-Elyria, OH Metro Area</t>
  </si>
  <si>
    <t>yes (3 initially present)</t>
  </si>
  <si>
    <t>Kansas City</t>
  </si>
  <si>
    <t>("Missouri", "Kansas")</t>
  </si>
  <si>
    <t>Kansas City, MO-KS</t>
  </si>
  <si>
    <t>Kansas City, MO-KS Metro Area</t>
  </si>
  <si>
    <t>Indianapolis</t>
  </si>
  <si>
    <t>Indiana</t>
  </si>
  <si>
    <t>Indianapolis-Carmel-Anderson, IN</t>
  </si>
  <si>
    <t>Indianapolis-Carmel-Anderson, IN Metro Area</t>
  </si>
  <si>
    <t>yes, 2 disconnected tracts</t>
  </si>
  <si>
    <t>Columbus</t>
  </si>
  <si>
    <t>Columbus, OH</t>
  </si>
  <si>
    <t>Columbus, OH Metro Area</t>
  </si>
  <si>
    <t>yes (6 initially present)</t>
  </si>
  <si>
    <t>San Jose</t>
  </si>
  <si>
    <t>San Jose-Sunnyvale-Santa Clara, CA</t>
  </si>
  <si>
    <t>San Jose-Sunnyvale-Santa Clara, CA Metro Area</t>
  </si>
  <si>
    <t>Nashville</t>
  </si>
  <si>
    <t>Tennessee</t>
  </si>
  <si>
    <t>Nashville-Davidson--Murfreesboro--Franklin, TN</t>
  </si>
  <si>
    <t>Nashville-Davidson--Murfreesboro--Franklin, TN Metro Area</t>
  </si>
  <si>
    <t>Virginia Beach</t>
  </si>
  <si>
    <t>Virginia</t>
  </si>
  <si>
    <t>("Virginia", "North Carolina")</t>
  </si>
  <si>
    <t>Virginia Beach-Norfolk-Newport News, VA-NC</t>
  </si>
  <si>
    <t>Virginia Beach-Norfolk-Newport News, VA-NC Metro Area</t>
  </si>
  <si>
    <t>Jacksonville</t>
  </si>
  <si>
    <t>Jacksonville, FL</t>
  </si>
  <si>
    <t>Jacksonville, FL Metro Area</t>
  </si>
  <si>
    <t>Providence</t>
  </si>
  <si>
    <t>Rhode Island</t>
  </si>
  <si>
    <t>("Rhode Island", "Massachusetts")</t>
  </si>
  <si>
    <t>Providence-Warwick, RI-MA</t>
  </si>
  <si>
    <t>Raleigh</t>
  </si>
  <si>
    <t>Raleigh-Cary, NC</t>
  </si>
  <si>
    <t>Raleigh-Cary, NC Metro Area</t>
  </si>
  <si>
    <t>* ~40 minutes to run (~29 for chunk 1, ~11 for chunk 2)</t>
  </si>
  <si>
    <t>Milwaukee</t>
  </si>
  <si>
    <t>Wisconsin</t>
  </si>
  <si>
    <t>Milwaukee-Waukesha, WI</t>
  </si>
  <si>
    <t>Milwaukee-Waukesha, WI Metro Area</t>
  </si>
  <si>
    <t>Oklahoma City</t>
  </si>
  <si>
    <t>Oklahoma</t>
  </si>
  <si>
    <t>Oklahoma City, OK</t>
  </si>
  <si>
    <t>^ has to be 50% of usa pop (check using state_populations variable the total pop for 2020)</t>
  </si>
  <si>
    <t>of USA population</t>
  </si>
  <si>
    <t xml:space="preserve">Total 2020 pop for 48 states: </t>
  </si>
  <si>
    <t>probably will look at all 40 MSAs listed to ensure that even if later filtering occurs, total pop remains &gt;50% of the usa pop</t>
  </si>
  <si>
    <t>Total pop needed for this project: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</si>
</sst>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4" fillId="2" borderId="0" xfId="0" applyFont="1" applyFill="1" applyAlignment="1">
      <alignment horizontal="left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43" fontId="0" fillId="0" borderId="0" xfId="0" applyNumberFormat="1"/>
    <xf numFmtId="0" fontId="5" fillId="4" borderId="0" xfId="0" applyFont="1" applyFill="1"/>
    <xf numFmtId="3" fontId="0" fillId="0" borderId="0" xfId="0" applyNumberFormat="1"/>
    <xf numFmtId="0" fontId="0" fillId="5" borderId="0" xfId="0" applyFill="1"/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3" fontId="0" fillId="4" borderId="1" xfId="0" applyNumberFormat="1" applyFill="1" applyBorder="1"/>
    <xf numFmtId="0" fontId="0" fillId="4" borderId="1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1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1" xfId="0" applyFill="1" applyBorder="1"/>
    <xf numFmtId="3" fontId="0" fillId="6" borderId="1" xfId="0" applyNumberFormat="1" applyFill="1" applyBorder="1"/>
    <xf numFmtId="0" fontId="0" fillId="3" borderId="4" xfId="0" applyFill="1" applyBorder="1"/>
    <xf numFmtId="0" fontId="4" fillId="2" borderId="0" xfId="0" applyFont="1" applyFill="1" applyAlignment="1">
      <alignment horizontal="left"/>
    </xf>
    <xf numFmtId="0" fontId="0" fillId="5" borderId="0" xfId="0" applyFill="1" applyAlignment="1">
      <alignment wrapText="1"/>
    </xf>
    <xf numFmtId="10" fontId="0" fillId="0" borderId="0" xfId="0" applyNumberFormat="1"/>
    <xf numFmtId="0" fontId="4" fillId="2" borderId="0" xfId="0" applyFont="1" applyFill="1" applyAlignment="1"/>
    <xf numFmtId="0" fontId="1" fillId="0" borderId="0" xfId="0" applyFont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1438275</xdr:colOff>
      <xdr:row>3</xdr:row>
      <xdr:rowOff>180975</xdr:rowOff>
    </xdr:from>
    <xdr:to>
      <xdr:col>4</xdr:col>
      <xdr:colOff>1971675</xdr:colOff>
      <xdr:row>15</xdr:row>
      <xdr:rowOff>47625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31647AD-E34E-42D7-9C0F-D63E5DA7D3C8}"/>
            </a:ext>
          </a:extLst>
        </xdr:cNvPr>
        <xdr:cNvSpPr txBox="1"/>
      </xdr:nvSpPr>
      <xdr:spPr>
        <a:xfrm>
          <a:off x="7239000" y="752475"/>
          <a:ext cx="3505200" cy="2152650"/>
        </a:xfrm>
        <a:prstGeom prst="rect">
          <a:avLst/>
        </a:prstGeom>
        <a:solidFill>
          <a:schemeClr val="accent3">
            <a:lumMod val="75000"/>
          </a:schemeClr>
        </a:solidFill>
        <a:ln/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Please note not all MSAs have been run on the researcher's computer yet! This is a work-in-progress.</a:t>
          </a:r>
        </a:p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Colour-coding legend:</a:t>
          </a:r>
          <a:endParaRPr lang="en-US" sz="1100" b="1">
            <a:solidFill>
              <a:schemeClr val="accent1">
                <a:lumMod val="20000"/>
                <a:lumOff val="80000"/>
              </a:schemeClr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1">
              <a:solidFill>
                <a:schemeClr val="accent1">
                  <a:lumMod val="20000"/>
                  <a:lumOff val="80000"/>
                </a:schemeClr>
              </a:solidFill>
              <a:latin typeface="+mn-lt"/>
              <a:ea typeface="+mn-lt"/>
              <a:cs typeface="+mn-lt"/>
            </a:rPr>
            <a:t>Lightest blue</a:t>
          </a:r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 = Ran notebook 00 to obtain basic tract, population, and bbox data. Have yet to obtain OSM PBF file.</a:t>
          </a:r>
          <a:endParaRPr lang="en-US" sz="1100" b="1">
            <a:solidFill>
              <a:schemeClr val="accent1">
                <a:lumMod val="40000"/>
                <a:lumOff val="60000"/>
              </a:schemeClr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1">
              <a:solidFill>
                <a:schemeClr val="accent1">
                  <a:lumMod val="40000"/>
                  <a:lumOff val="60000"/>
                </a:schemeClr>
              </a:solidFill>
              <a:latin typeface="+mn-lt"/>
              <a:ea typeface="+mn-lt"/>
              <a:cs typeface="+mn-lt"/>
            </a:rPr>
            <a:t>Mid blue</a:t>
          </a:r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 = Ran notebook 00 to obtain basic tract, population, and bbox data. OSM PBF file obtained and downloaded to device.</a:t>
          </a:r>
          <a:endParaRPr lang="en-US" sz="1100" b="1">
            <a:solidFill>
              <a:schemeClr val="accent1">
                <a:lumMod val="60000"/>
                <a:lumOff val="40000"/>
              </a:schemeClr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1">
              <a:solidFill>
                <a:schemeClr val="accent1">
                  <a:lumMod val="60000"/>
                  <a:lumOff val="40000"/>
                </a:schemeClr>
              </a:solidFill>
              <a:latin typeface="+mn-lt"/>
              <a:ea typeface="+mn-lt"/>
              <a:cs typeface="+mn-lt"/>
            </a:rPr>
            <a:t>Darkest blue</a:t>
          </a:r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 = Ran notebook 00, OSM PBF file obtained, and notebook 01 for routing was run (with the resulting walksheds and walksheds_df files saved).</a:t>
          </a: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workbookViewId="0">
      <pane xSplit="1" ySplit="2" topLeftCell="C3" activePane="bottomRight" state="frozen"/>
      <selection pane="bottomRight" activeCell="W49" sqref="W49"/>
      <selection pane="bottomLeft"/>
      <selection pane="topRight"/>
    </sheetView>
  </sheetViews>
  <sheetFormatPr defaultRowHeight="15"/>
  <cols>
    <col min="1" max="1" width="14" customWidth="1"/>
    <col min="2" max="2" width="18.140625" customWidth="1"/>
    <col min="3" max="3" width="54.85546875" customWidth="1"/>
    <col min="4" max="4" width="44.5703125" bestFit="1" customWidth="1"/>
    <col min="5" max="5" width="55.5703125" bestFit="1" customWidth="1"/>
    <col min="6" max="6" width="43.85546875" bestFit="1" customWidth="1"/>
    <col min="7" max="7" width="43.5703125" bestFit="1" customWidth="1"/>
    <col min="8" max="8" width="56.28515625" bestFit="1" customWidth="1"/>
    <col min="9" max="9" width="43.5703125" bestFit="1" customWidth="1"/>
    <col min="10" max="10" width="51.28515625" bestFit="1" customWidth="1"/>
    <col min="11" max="11" width="78.5703125" bestFit="1" customWidth="1"/>
    <col min="12" max="14" width="10.85546875" bestFit="1" customWidth="1"/>
    <col min="15" max="15" width="9.28515625" bestFit="1" customWidth="1"/>
    <col min="16" max="16" width="17.5703125" bestFit="1" customWidth="1"/>
    <col min="17" max="17" width="49.42578125" bestFit="1" customWidth="1"/>
    <col min="18" max="18" width="30.5703125" bestFit="1" customWidth="1"/>
    <col min="19" max="19" width="51.28515625" bestFit="1" customWidth="1"/>
    <col min="20" max="20" width="31.85546875" bestFit="1" customWidth="1"/>
    <col min="21" max="21" width="75.7109375" bestFit="1" customWidth="1"/>
    <col min="22" max="22" width="33.5703125" bestFit="1" customWidth="1"/>
    <col min="23" max="23" width="33.140625" bestFit="1" customWidth="1"/>
    <col min="24" max="24" width="74.140625" customWidth="1"/>
    <col min="25" max="25" width="33.5703125" customWidth="1"/>
  </cols>
  <sheetData>
    <row r="1" spans="1:26">
      <c r="A1" s="17" t="s">
        <v>0</v>
      </c>
      <c r="B1" s="17"/>
      <c r="C1" s="17"/>
      <c r="D1" s="17" t="s">
        <v>1</v>
      </c>
      <c r="E1" s="17"/>
      <c r="F1" s="17"/>
      <c r="G1" s="17"/>
      <c r="H1" s="17"/>
      <c r="I1" s="17"/>
      <c r="J1" s="2"/>
      <c r="K1" s="2"/>
      <c r="L1" s="17" t="s">
        <v>2</v>
      </c>
      <c r="M1" s="17"/>
      <c r="N1" s="17"/>
      <c r="O1" s="17"/>
      <c r="P1" s="17" t="s">
        <v>3</v>
      </c>
      <c r="Q1" s="17"/>
      <c r="R1" s="20" t="s">
        <v>4</v>
      </c>
      <c r="S1" s="20"/>
      <c r="T1" s="20"/>
      <c r="U1" s="20"/>
      <c r="V1" s="20"/>
      <c r="W1" s="20"/>
      <c r="X1" s="20"/>
      <c r="Y1" s="20"/>
    </row>
    <row r="2" spans="1:26">
      <c r="A2" s="21" t="s">
        <v>5</v>
      </c>
      <c r="B2" s="21" t="s">
        <v>6</v>
      </c>
      <c r="C2" s="21" t="s">
        <v>7</v>
      </c>
      <c r="D2" s="1" t="s">
        <v>8</v>
      </c>
      <c r="E2" s="1" t="s">
        <v>9</v>
      </c>
      <c r="F2" s="1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</row>
    <row r="3" spans="1:26">
      <c r="A3" s="22" t="s">
        <v>30</v>
      </c>
      <c r="B3" s="21" t="s">
        <v>30</v>
      </c>
      <c r="C3" s="21" t="s">
        <v>31</v>
      </c>
      <c r="D3" s="5" t="s">
        <v>32</v>
      </c>
      <c r="E3" s="5" t="s">
        <v>33</v>
      </c>
      <c r="F3">
        <v>4952</v>
      </c>
      <c r="G3">
        <v>4928</v>
      </c>
      <c r="H3" s="6">
        <v>20182447</v>
      </c>
      <c r="I3" s="6">
        <v>20146500</v>
      </c>
      <c r="J3" s="4"/>
      <c r="K3" s="4" t="s">
        <v>34</v>
      </c>
      <c r="L3">
        <v>-75.22457</v>
      </c>
      <c r="M3">
        <v>39.478009999999998</v>
      </c>
      <c r="N3">
        <v>-71.833410000000001</v>
      </c>
      <c r="O3">
        <v>41.613889999999998</v>
      </c>
      <c r="P3" s="3" t="b">
        <v>1</v>
      </c>
      <c r="Q3" s="3" t="b">
        <v>1</v>
      </c>
      <c r="R3" s="3" t="b">
        <v>1</v>
      </c>
      <c r="S3" s="3" t="b">
        <v>1</v>
      </c>
      <c r="T3">
        <v>4915</v>
      </c>
      <c r="U3">
        <f>G3-T3</f>
        <v>13</v>
      </c>
      <c r="V3" s="6">
        <v>20103550</v>
      </c>
      <c r="W3" s="6"/>
      <c r="X3" s="6"/>
      <c r="Y3" s="6"/>
      <c r="Z3" t="s">
        <v>35</v>
      </c>
    </row>
    <row r="4" spans="1:26">
      <c r="A4" s="22" t="s">
        <v>36</v>
      </c>
      <c r="B4" s="21" t="s">
        <v>37</v>
      </c>
      <c r="C4" s="21" t="s">
        <v>37</v>
      </c>
      <c r="D4" t="s">
        <v>38</v>
      </c>
      <c r="E4" t="s">
        <v>39</v>
      </c>
      <c r="F4">
        <v>3225</v>
      </c>
      <c r="G4">
        <v>3220</v>
      </c>
      <c r="H4" s="6">
        <v>13788560</v>
      </c>
      <c r="I4" s="6">
        <v>13788560</v>
      </c>
      <c r="J4" s="4"/>
      <c r="K4" s="4"/>
      <c r="L4">
        <v>-118.97615</v>
      </c>
      <c r="M4">
        <v>33.358260000000001</v>
      </c>
      <c r="N4">
        <v>-117.38515</v>
      </c>
      <c r="O4">
        <v>34.855919999999998</v>
      </c>
      <c r="P4" s="3" t="b">
        <v>1</v>
      </c>
      <c r="Q4" s="3" t="b">
        <v>1</v>
      </c>
      <c r="R4" s="3" t="b">
        <v>1</v>
      </c>
      <c r="S4" s="3" t="b">
        <v>1</v>
      </c>
      <c r="T4">
        <v>3213</v>
      </c>
      <c r="U4">
        <f>G4-T4</f>
        <v>7</v>
      </c>
      <c r="V4" s="6">
        <v>13764121</v>
      </c>
      <c r="W4" s="6"/>
      <c r="X4" s="6"/>
      <c r="Y4" s="6"/>
    </row>
    <row r="5" spans="1:26">
      <c r="A5" s="22" t="s">
        <v>40</v>
      </c>
      <c r="B5" s="21" t="s">
        <v>41</v>
      </c>
      <c r="C5" s="21" t="s">
        <v>42</v>
      </c>
      <c r="D5" t="s">
        <v>43</v>
      </c>
      <c r="E5" t="s">
        <v>44</v>
      </c>
      <c r="F5">
        <v>2330</v>
      </c>
      <c r="G5">
        <v>2320</v>
      </c>
      <c r="H5" s="6">
        <v>9618502</v>
      </c>
      <c r="I5" s="6">
        <v>9589257</v>
      </c>
      <c r="J5" s="4"/>
      <c r="K5" s="4"/>
      <c r="L5">
        <v>-88.960539999999995</v>
      </c>
      <c r="M5">
        <v>40.958120000000001</v>
      </c>
      <c r="N5">
        <v>-86.902299999999997</v>
      </c>
      <c r="O5">
        <v>42.700159999999997</v>
      </c>
      <c r="P5" s="3" t="b">
        <v>1</v>
      </c>
      <c r="Q5" s="3" t="b">
        <v>1</v>
      </c>
      <c r="R5" s="3" t="b">
        <v>1</v>
      </c>
      <c r="S5" s="3" t="b">
        <v>1</v>
      </c>
      <c r="T5">
        <v>2318</v>
      </c>
      <c r="U5">
        <f>G5-T5</f>
        <v>2</v>
      </c>
      <c r="V5" s="6">
        <v>9585705</v>
      </c>
      <c r="W5" s="6"/>
      <c r="X5" s="6"/>
      <c r="Y5" s="6"/>
    </row>
    <row r="6" spans="1:26">
      <c r="A6" s="7" t="s">
        <v>45</v>
      </c>
      <c r="B6" t="s">
        <v>46</v>
      </c>
      <c r="C6" t="s">
        <v>46</v>
      </c>
      <c r="D6" t="s">
        <v>47</v>
      </c>
      <c r="E6" t="s">
        <v>48</v>
      </c>
      <c r="F6">
        <v>1704</v>
      </c>
      <c r="G6">
        <v>1686</v>
      </c>
      <c r="H6" s="6">
        <v>7637387</v>
      </c>
      <c r="I6" s="6">
        <v>7565610</v>
      </c>
      <c r="J6" s="4"/>
      <c r="K6" s="4"/>
      <c r="L6">
        <v>-98.090170000000001</v>
      </c>
      <c r="M6">
        <v>32.026899999999998</v>
      </c>
      <c r="N6">
        <v>-95.835380000000001</v>
      </c>
      <c r="O6">
        <v>33.463349999999998</v>
      </c>
      <c r="P6" s="3" t="b">
        <v>1</v>
      </c>
      <c r="Q6" s="3" t="b">
        <v>1</v>
      </c>
      <c r="R6" s="3" t="b">
        <v>1</v>
      </c>
      <c r="S6" s="3" t="b">
        <v>1</v>
      </c>
      <c r="T6">
        <v>1682</v>
      </c>
      <c r="U6">
        <f>G6-T6</f>
        <v>4</v>
      </c>
      <c r="V6" s="6">
        <v>7548765</v>
      </c>
      <c r="W6" s="6"/>
      <c r="X6" s="6"/>
      <c r="Y6" s="6"/>
    </row>
    <row r="7" spans="1:26">
      <c r="A7" s="7" t="s">
        <v>49</v>
      </c>
      <c r="B7" t="s">
        <v>46</v>
      </c>
      <c r="C7" t="s">
        <v>46</v>
      </c>
      <c r="D7" t="s">
        <v>50</v>
      </c>
      <c r="E7" t="s">
        <v>51</v>
      </c>
      <c r="F7">
        <v>1603</v>
      </c>
      <c r="G7">
        <v>1583</v>
      </c>
      <c r="H7" s="6">
        <v>7122240</v>
      </c>
      <c r="I7" s="6">
        <v>7047052</v>
      </c>
      <c r="J7" s="4"/>
      <c r="K7" s="4" t="s">
        <v>34</v>
      </c>
      <c r="L7">
        <v>-96.343879999999999</v>
      </c>
      <c r="M7">
        <v>28.795380000000002</v>
      </c>
      <c r="N7">
        <v>-94.33596</v>
      </c>
      <c r="O7">
        <v>30.665330000000001</v>
      </c>
      <c r="P7" s="3" t="b">
        <v>1</v>
      </c>
      <c r="Q7" s="3" t="b">
        <v>1</v>
      </c>
      <c r="R7" s="3" t="b">
        <v>1</v>
      </c>
      <c r="S7" s="3" t="b">
        <v>1</v>
      </c>
      <c r="T7">
        <v>1578</v>
      </c>
      <c r="U7">
        <f t="shared" ref="U7:U8" si="0">G7-T7</f>
        <v>5</v>
      </c>
      <c r="V7" s="6">
        <v>7028321</v>
      </c>
      <c r="W7" s="6"/>
      <c r="X7" s="6"/>
      <c r="Y7" s="6"/>
    </row>
    <row r="8" spans="1:26">
      <c r="A8" s="22" t="s">
        <v>52</v>
      </c>
      <c r="B8" s="21" t="s">
        <v>53</v>
      </c>
      <c r="C8" s="21" t="s">
        <v>54</v>
      </c>
      <c r="D8" t="s">
        <v>55</v>
      </c>
      <c r="E8" t="s">
        <v>56</v>
      </c>
      <c r="F8">
        <v>1487</v>
      </c>
      <c r="G8">
        <v>1473</v>
      </c>
      <c r="H8" s="6">
        <v>6390213</v>
      </c>
      <c r="I8" s="6">
        <v>6347065</v>
      </c>
      <c r="J8" s="4" t="s">
        <v>57</v>
      </c>
      <c r="K8" s="4" t="s">
        <v>58</v>
      </c>
      <c r="L8">
        <v>-78.406970000000001</v>
      </c>
      <c r="M8">
        <v>37.971429999999998</v>
      </c>
      <c r="N8">
        <v>-76.363730000000004</v>
      </c>
      <c r="O8">
        <v>39.743290000000002</v>
      </c>
      <c r="P8" s="3" t="b">
        <v>1</v>
      </c>
      <c r="Q8" s="3" t="b">
        <v>1</v>
      </c>
      <c r="R8" s="3" t="b">
        <v>1</v>
      </c>
      <c r="S8" s="3" t="b">
        <v>1</v>
      </c>
      <c r="T8">
        <v>1472</v>
      </c>
      <c r="U8">
        <f t="shared" si="0"/>
        <v>1</v>
      </c>
      <c r="V8" s="6">
        <v>6347019</v>
      </c>
      <c r="W8" s="6"/>
      <c r="X8" s="6"/>
      <c r="Y8" s="6"/>
    </row>
    <row r="9" spans="1:26">
      <c r="A9" s="7" t="s">
        <v>59</v>
      </c>
      <c r="B9" t="s">
        <v>60</v>
      </c>
      <c r="C9" t="s">
        <v>61</v>
      </c>
      <c r="D9" t="s">
        <v>62</v>
      </c>
      <c r="E9" t="s">
        <v>63</v>
      </c>
      <c r="F9">
        <v>1555</v>
      </c>
      <c r="G9">
        <v>1553</v>
      </c>
      <c r="H9" s="6">
        <v>6249190</v>
      </c>
      <c r="I9" s="6">
        <v>6246300</v>
      </c>
      <c r="J9" s="4" t="s">
        <v>64</v>
      </c>
      <c r="K9" s="4"/>
      <c r="L9">
        <v>-76.247910000000005</v>
      </c>
      <c r="M9">
        <v>39.27093</v>
      </c>
      <c r="N9">
        <v>-74.370480000000001</v>
      </c>
      <c r="O9">
        <v>40.631630000000001</v>
      </c>
      <c r="P9" s="3" t="b">
        <v>1</v>
      </c>
      <c r="Q9" s="3" t="b">
        <v>1</v>
      </c>
      <c r="R9" s="3" t="b">
        <v>1</v>
      </c>
      <c r="S9" s="3" t="b">
        <v>1</v>
      </c>
      <c r="T9">
        <v>1552</v>
      </c>
      <c r="U9">
        <f>G9-T9</f>
        <v>1</v>
      </c>
      <c r="V9" s="6">
        <v>6242708</v>
      </c>
      <c r="W9" s="6"/>
      <c r="X9" s="6"/>
      <c r="Y9" s="6"/>
    </row>
    <row r="10" spans="1:26">
      <c r="A10" s="7" t="s">
        <v>65</v>
      </c>
      <c r="B10" t="s">
        <v>66</v>
      </c>
      <c r="C10" t="s">
        <v>66</v>
      </c>
      <c r="D10" t="s">
        <v>67</v>
      </c>
      <c r="E10" t="s">
        <v>68</v>
      </c>
      <c r="F10">
        <v>1494</v>
      </c>
      <c r="G10">
        <v>1485</v>
      </c>
      <c r="H10" s="6">
        <v>6138333</v>
      </c>
      <c r="I10" s="6">
        <v>6135414</v>
      </c>
      <c r="J10" s="4" t="s">
        <v>64</v>
      </c>
      <c r="K10" s="4"/>
      <c r="L10">
        <v>-80.898650000000004</v>
      </c>
      <c r="M10">
        <v>25.11731</v>
      </c>
      <c r="N10">
        <v>-80.019959999999998</v>
      </c>
      <c r="O10">
        <v>26.992550000000001</v>
      </c>
      <c r="P10" s="3" t="b">
        <v>1</v>
      </c>
      <c r="Q10" s="3" t="b">
        <v>1</v>
      </c>
      <c r="R10" s="3" t="b">
        <v>1</v>
      </c>
      <c r="S10" s="3" t="b">
        <v>1</v>
      </c>
      <c r="T10">
        <v>1481</v>
      </c>
      <c r="U10">
        <f t="shared" ref="U10:V35" si="1">G10-T10</f>
        <v>4</v>
      </c>
      <c r="V10" s="6">
        <v>6111410</v>
      </c>
      <c r="W10" s="6"/>
      <c r="X10" s="6"/>
      <c r="Y10" s="6"/>
    </row>
    <row r="11" spans="1:26">
      <c r="A11" s="7" t="s">
        <v>69</v>
      </c>
      <c r="B11" t="s">
        <v>70</v>
      </c>
      <c r="C11" t="s">
        <v>70</v>
      </c>
      <c r="D11" t="s">
        <v>71</v>
      </c>
      <c r="E11" t="s">
        <v>72</v>
      </c>
      <c r="F11">
        <v>1505</v>
      </c>
      <c r="G11">
        <v>1486</v>
      </c>
      <c r="H11" s="6">
        <v>6111192</v>
      </c>
      <c r="I11" s="6">
        <v>6042287</v>
      </c>
      <c r="J11" s="4"/>
      <c r="K11" s="4"/>
      <c r="L11">
        <v>-85.406599999999997</v>
      </c>
      <c r="M11">
        <v>32.825609999999998</v>
      </c>
      <c r="N11">
        <v>-83.485690000000005</v>
      </c>
      <c r="O11">
        <v>34.641710000000003</v>
      </c>
      <c r="P11" s="3" t="b">
        <v>1</v>
      </c>
      <c r="Q11" s="3" t="b">
        <v>1</v>
      </c>
      <c r="R11" s="3" t="b">
        <v>1</v>
      </c>
      <c r="S11" s="3" t="b">
        <v>1</v>
      </c>
      <c r="T11">
        <v>1485</v>
      </c>
      <c r="U11">
        <f t="shared" si="1"/>
        <v>1</v>
      </c>
      <c r="V11" s="6">
        <v>6037969</v>
      </c>
      <c r="W11" s="6"/>
      <c r="X11" s="6"/>
      <c r="Y11" s="6"/>
    </row>
    <row r="12" spans="1:26">
      <c r="A12" s="7" t="s">
        <v>73</v>
      </c>
      <c r="B12" t="s">
        <v>74</v>
      </c>
      <c r="C12" t="s">
        <v>75</v>
      </c>
      <c r="D12" t="s">
        <v>76</v>
      </c>
      <c r="E12" t="s">
        <v>77</v>
      </c>
      <c r="F12">
        <v>1162</v>
      </c>
      <c r="G12">
        <v>1150</v>
      </c>
      <c r="H12" s="6">
        <v>5106088</v>
      </c>
      <c r="I12" s="6">
        <v>5061296</v>
      </c>
      <c r="J12" s="4"/>
      <c r="K12" s="4" t="s">
        <v>34</v>
      </c>
      <c r="L12">
        <v>-71.928280000000001</v>
      </c>
      <c r="M12">
        <v>41.603349999999999</v>
      </c>
      <c r="N12">
        <v>-70.498320000000007</v>
      </c>
      <c r="O12">
        <v>43.595509999999997</v>
      </c>
      <c r="P12" s="3" t="b">
        <v>1</v>
      </c>
      <c r="Q12" s="3" t="b">
        <v>1</v>
      </c>
      <c r="R12" s="3" t="b">
        <v>1</v>
      </c>
      <c r="S12" s="3" t="b">
        <v>1</v>
      </c>
      <c r="T12">
        <v>1148</v>
      </c>
      <c r="U12">
        <f t="shared" si="1"/>
        <v>2</v>
      </c>
      <c r="V12" s="6">
        <v>5056920</v>
      </c>
      <c r="W12" s="6"/>
      <c r="X12" s="6"/>
      <c r="Y12" s="6"/>
    </row>
    <row r="13" spans="1:26">
      <c r="A13" s="7" t="s">
        <v>78</v>
      </c>
      <c r="B13" t="s">
        <v>79</v>
      </c>
      <c r="C13" t="s">
        <v>79</v>
      </c>
      <c r="D13" t="s">
        <v>80</v>
      </c>
      <c r="E13" t="s">
        <v>81</v>
      </c>
      <c r="F13">
        <v>1104</v>
      </c>
      <c r="G13">
        <v>1088</v>
      </c>
      <c r="H13" s="6">
        <v>4845832</v>
      </c>
      <c r="I13" s="6">
        <v>4808285</v>
      </c>
      <c r="J13" s="4"/>
      <c r="K13" s="4"/>
      <c r="L13">
        <v>-113.35854</v>
      </c>
      <c r="M13">
        <v>32.470689999999998</v>
      </c>
      <c r="N13">
        <v>-110.56922</v>
      </c>
      <c r="O13">
        <v>34.087380000000003</v>
      </c>
      <c r="P13" s="3" t="b">
        <v>1</v>
      </c>
      <c r="Q13" s="3" t="b">
        <v>1</v>
      </c>
      <c r="R13" s="3" t="b">
        <v>1</v>
      </c>
      <c r="S13" s="3" t="b">
        <v>1</v>
      </c>
      <c r="T13">
        <v>1084</v>
      </c>
      <c r="U13">
        <f t="shared" si="1"/>
        <v>4</v>
      </c>
      <c r="V13" s="6">
        <v>4789366</v>
      </c>
      <c r="W13" s="6"/>
      <c r="X13" s="6"/>
      <c r="Y13" s="6"/>
    </row>
    <row r="14" spans="1:26">
      <c r="A14" s="7" t="s">
        <v>82</v>
      </c>
      <c r="B14" t="s">
        <v>37</v>
      </c>
      <c r="C14" t="s">
        <v>37</v>
      </c>
      <c r="D14" t="s">
        <v>83</v>
      </c>
      <c r="E14" t="s">
        <v>84</v>
      </c>
      <c r="F14">
        <v>1095</v>
      </c>
      <c r="G14">
        <v>1090</v>
      </c>
      <c r="H14" s="6">
        <v>4749008</v>
      </c>
      <c r="I14" s="6">
        <v>4740788</v>
      </c>
      <c r="J14" s="4"/>
      <c r="K14" s="4" t="s">
        <v>85</v>
      </c>
      <c r="L14">
        <v>-122.74072</v>
      </c>
      <c r="M14">
        <v>37.087690000000002</v>
      </c>
      <c r="N14">
        <v>-121.45704000000001</v>
      </c>
      <c r="O14">
        <v>38.210389999999997</v>
      </c>
      <c r="P14" s="3" t="b">
        <v>1</v>
      </c>
      <c r="Q14" s="3" t="b">
        <v>1</v>
      </c>
      <c r="R14" s="3" t="b">
        <v>1</v>
      </c>
      <c r="S14" s="3" t="b">
        <v>1</v>
      </c>
      <c r="T14">
        <v>1086</v>
      </c>
      <c r="U14">
        <f t="shared" si="1"/>
        <v>4</v>
      </c>
      <c r="V14" s="6">
        <v>4720644</v>
      </c>
      <c r="W14" s="6"/>
      <c r="X14" s="6"/>
      <c r="Y14" s="6"/>
    </row>
    <row r="15" spans="1:26">
      <c r="A15" s="7" t="s">
        <v>86</v>
      </c>
      <c r="B15" t="s">
        <v>37</v>
      </c>
      <c r="C15" t="s">
        <v>37</v>
      </c>
      <c r="D15" t="s">
        <v>87</v>
      </c>
      <c r="E15" t="s">
        <v>88</v>
      </c>
      <c r="F15">
        <v>983</v>
      </c>
      <c r="G15">
        <v>961</v>
      </c>
      <c r="H15" s="6">
        <v>4599665</v>
      </c>
      <c r="I15" s="6">
        <v>4535372</v>
      </c>
      <c r="K15" t="s">
        <v>89</v>
      </c>
      <c r="L15">
        <v>-117.83114</v>
      </c>
      <c r="M15">
        <v>33.394750000000002</v>
      </c>
      <c r="N15">
        <v>-114.42921</v>
      </c>
      <c r="O15">
        <v>35.437309999999997</v>
      </c>
      <c r="P15" s="3" t="b">
        <v>1</v>
      </c>
      <c r="Q15" s="3" t="b">
        <v>1</v>
      </c>
      <c r="R15" s="3" t="b">
        <v>1</v>
      </c>
      <c r="S15" s="3" t="b">
        <v>1</v>
      </c>
      <c r="T15">
        <v>953</v>
      </c>
      <c r="U15">
        <f t="shared" si="1"/>
        <v>8</v>
      </c>
      <c r="V15" s="6">
        <v>4507728</v>
      </c>
      <c r="W15" s="6"/>
      <c r="X15" s="6"/>
      <c r="Y15" s="6"/>
    </row>
    <row r="16" spans="1:26">
      <c r="A16" s="7" t="s">
        <v>90</v>
      </c>
      <c r="B16" t="s">
        <v>91</v>
      </c>
      <c r="C16" t="s">
        <v>91</v>
      </c>
      <c r="D16" t="s">
        <v>92</v>
      </c>
      <c r="E16" t="s">
        <v>93</v>
      </c>
      <c r="F16">
        <v>1353</v>
      </c>
      <c r="G16">
        <v>1347</v>
      </c>
      <c r="H16" s="6">
        <v>4396042</v>
      </c>
      <c r="I16" s="6">
        <v>4385822</v>
      </c>
      <c r="L16">
        <v>-84.175160000000005</v>
      </c>
      <c r="M16">
        <v>41.987299999999998</v>
      </c>
      <c r="N16">
        <v>-82.399420000000006</v>
      </c>
      <c r="O16">
        <v>43.306870000000004</v>
      </c>
      <c r="P16" s="3" t="b">
        <v>1</v>
      </c>
      <c r="Q16" s="3" t="b">
        <v>1</v>
      </c>
      <c r="R16" s="3" t="b">
        <v>1</v>
      </c>
      <c r="S16" s="3" t="b">
        <v>1</v>
      </c>
      <c r="T16">
        <v>1346</v>
      </c>
      <c r="U16">
        <f t="shared" si="1"/>
        <v>1</v>
      </c>
      <c r="V16" s="6">
        <v>4381412</v>
      </c>
      <c r="W16" s="6"/>
      <c r="X16" s="6"/>
      <c r="Y16" s="6"/>
    </row>
    <row r="17" spans="1:26">
      <c r="A17" s="7" t="s">
        <v>94</v>
      </c>
      <c r="B17" t="s">
        <v>52</v>
      </c>
      <c r="C17" t="s">
        <v>52</v>
      </c>
      <c r="D17" t="s">
        <v>95</v>
      </c>
      <c r="E17" t="s">
        <v>96</v>
      </c>
      <c r="F17">
        <v>861</v>
      </c>
      <c r="G17">
        <v>859</v>
      </c>
      <c r="H17" s="6">
        <v>4021816</v>
      </c>
      <c r="I17" s="6">
        <v>4010761</v>
      </c>
      <c r="K17" s="4" t="s">
        <v>97</v>
      </c>
      <c r="L17">
        <v>-122.88885999999999</v>
      </c>
      <c r="M17">
        <v>46.706400000000002</v>
      </c>
      <c r="N17">
        <v>-120.86185</v>
      </c>
      <c r="O17">
        <v>48.327950000000001</v>
      </c>
      <c r="P17" s="3" t="b">
        <v>1</v>
      </c>
      <c r="Q17" s="3" t="b">
        <v>1</v>
      </c>
      <c r="R17" s="3" t="b">
        <v>1</v>
      </c>
      <c r="S17" s="3" t="b">
        <v>1</v>
      </c>
      <c r="T17">
        <v>856</v>
      </c>
      <c r="U17">
        <f t="shared" si="1"/>
        <v>3</v>
      </c>
      <c r="V17" s="6">
        <v>3999391</v>
      </c>
      <c r="W17" s="6"/>
      <c r="X17" s="6"/>
      <c r="Y17" s="6"/>
    </row>
    <row r="18" spans="1:26">
      <c r="A18" s="7" t="s">
        <v>98</v>
      </c>
      <c r="B18" t="s">
        <v>99</v>
      </c>
      <c r="C18" t="s">
        <v>100</v>
      </c>
      <c r="D18" t="s">
        <v>101</v>
      </c>
      <c r="E18" t="s">
        <v>102</v>
      </c>
      <c r="F18">
        <v>892</v>
      </c>
      <c r="G18">
        <v>873</v>
      </c>
      <c r="H18" s="6">
        <v>3690261</v>
      </c>
      <c r="I18" s="6">
        <v>3606285</v>
      </c>
      <c r="L18">
        <v>-94.296589999999995</v>
      </c>
      <c r="M18">
        <v>44.212769999999999</v>
      </c>
      <c r="N18">
        <v>-92.224050000000005</v>
      </c>
      <c r="O18">
        <v>46.279380000000003</v>
      </c>
      <c r="P18" s="3" t="b">
        <v>1</v>
      </c>
      <c r="Q18" s="3" t="b">
        <v>1</v>
      </c>
      <c r="R18" s="3" t="b">
        <v>1</v>
      </c>
      <c r="S18" s="3" t="b">
        <v>1</v>
      </c>
      <c r="T18">
        <v>872</v>
      </c>
      <c r="U18">
        <f t="shared" si="1"/>
        <v>1</v>
      </c>
      <c r="V18" s="6">
        <v>3606285</v>
      </c>
      <c r="W18" s="6"/>
      <c r="X18" s="6"/>
      <c r="Y18" s="6"/>
    </row>
    <row r="19" spans="1:26">
      <c r="A19" s="7" t="s">
        <v>103</v>
      </c>
      <c r="B19" s="10" t="s">
        <v>37</v>
      </c>
      <c r="C19" t="s">
        <v>37</v>
      </c>
      <c r="D19" t="s">
        <v>104</v>
      </c>
      <c r="E19" s="9" t="s">
        <v>105</v>
      </c>
      <c r="F19" s="10">
        <v>736</v>
      </c>
      <c r="G19">
        <v>732</v>
      </c>
      <c r="H19" s="6">
        <v>3298634</v>
      </c>
      <c r="I19" s="6">
        <v>3287211</v>
      </c>
      <c r="L19">
        <v>-117.60827999999999</v>
      </c>
      <c r="M19">
        <v>32.514119999999998</v>
      </c>
      <c r="N19">
        <v>-116.08866999999999</v>
      </c>
      <c r="O19">
        <v>33.527929999999998</v>
      </c>
      <c r="P19" s="3" t="b">
        <v>1</v>
      </c>
      <c r="Q19" s="3" t="b">
        <v>1</v>
      </c>
      <c r="R19" s="3" t="b">
        <v>1</v>
      </c>
      <c r="S19" s="3" t="b">
        <v>1</v>
      </c>
      <c r="T19">
        <v>729</v>
      </c>
      <c r="U19">
        <f t="shared" si="1"/>
        <v>3</v>
      </c>
      <c r="V19" s="6">
        <v>3242115</v>
      </c>
      <c r="W19" s="6"/>
      <c r="X19" s="6"/>
      <c r="Y19" s="6"/>
    </row>
    <row r="20" spans="1:26">
      <c r="A20" s="16" t="s">
        <v>106</v>
      </c>
      <c r="B20" s="8" t="s">
        <v>66</v>
      </c>
      <c r="C20" s="8" t="s">
        <v>66</v>
      </c>
      <c r="D20" s="8" t="s">
        <v>107</v>
      </c>
      <c r="E20" s="8" t="s">
        <v>108</v>
      </c>
      <c r="F20" s="8">
        <v>782</v>
      </c>
      <c r="G20" s="8">
        <v>775</v>
      </c>
      <c r="H20" s="11">
        <v>3175275</v>
      </c>
      <c r="I20" s="11">
        <v>3164717</v>
      </c>
      <c r="J20" s="8"/>
      <c r="K20" s="8"/>
      <c r="L20" s="8">
        <v>-82.864059999999995</v>
      </c>
      <c r="M20" s="8">
        <v>27.597300000000001</v>
      </c>
      <c r="N20" s="8">
        <v>-82.040710000000004</v>
      </c>
      <c r="O20" s="8">
        <v>28.71022</v>
      </c>
      <c r="P20" s="12" t="b">
        <v>1</v>
      </c>
      <c r="Q20" s="12" t="b">
        <v>1</v>
      </c>
      <c r="R20" s="13" t="b">
        <v>0</v>
      </c>
      <c r="S20" s="13" t="b">
        <v>0</v>
      </c>
      <c r="T20" s="14"/>
      <c r="U20" s="14"/>
      <c r="V20" s="15"/>
      <c r="W20" s="15"/>
      <c r="X20" s="15"/>
      <c r="Y20" s="15"/>
      <c r="Z20" t="s">
        <v>109</v>
      </c>
    </row>
    <row r="21" spans="1:26">
      <c r="A21" s="7" t="s">
        <v>110</v>
      </c>
      <c r="B21" t="s">
        <v>111</v>
      </c>
      <c r="C21" t="s">
        <v>111</v>
      </c>
      <c r="D21" t="s">
        <v>112</v>
      </c>
      <c r="E21" t="s">
        <v>113</v>
      </c>
      <c r="F21">
        <v>705</v>
      </c>
      <c r="G21">
        <v>685</v>
      </c>
      <c r="H21" s="6">
        <v>2965150</v>
      </c>
      <c r="I21" s="6">
        <v>2921029</v>
      </c>
      <c r="L21">
        <v>-105.876</v>
      </c>
      <c r="M21">
        <v>39.110480000000003</v>
      </c>
      <c r="N21">
        <v>-103.68259</v>
      </c>
      <c r="O21">
        <v>40.068629999999999</v>
      </c>
      <c r="P21" s="3" t="b">
        <v>1</v>
      </c>
      <c r="Q21" s="3" t="b">
        <v>1</v>
      </c>
      <c r="R21" s="3" t="b">
        <v>1</v>
      </c>
      <c r="S21" s="3" t="b">
        <v>1</v>
      </c>
      <c r="T21">
        <v>676</v>
      </c>
      <c r="U21">
        <f t="shared" si="1"/>
        <v>9</v>
      </c>
      <c r="V21" s="6">
        <v>2890912</v>
      </c>
      <c r="W21" s="6"/>
      <c r="X21" s="6"/>
      <c r="Y21" s="6"/>
    </row>
    <row r="22" spans="1:26">
      <c r="A22" s="7" t="s">
        <v>114</v>
      </c>
      <c r="B22" t="s">
        <v>115</v>
      </c>
      <c r="C22" t="s">
        <v>115</v>
      </c>
      <c r="D22" t="s">
        <v>116</v>
      </c>
      <c r="E22" t="s">
        <v>117</v>
      </c>
      <c r="F22">
        <v>730</v>
      </c>
      <c r="G22">
        <v>719</v>
      </c>
      <c r="H22" s="6">
        <v>2912355</v>
      </c>
      <c r="I22" s="6">
        <v>2864594</v>
      </c>
      <c r="K22" t="s">
        <v>118</v>
      </c>
      <c r="L22">
        <v>-77.332440000000005</v>
      </c>
      <c r="M22">
        <v>38.6935</v>
      </c>
      <c r="N22">
        <v>-76.039190000000005</v>
      </c>
      <c r="O22">
        <v>39.742489999999997</v>
      </c>
      <c r="P22" s="3" t="b">
        <v>1</v>
      </c>
      <c r="Q22" s="3" t="b">
        <v>1</v>
      </c>
      <c r="R22" s="3" t="b">
        <v>1</v>
      </c>
      <c r="S22" s="3" t="b">
        <v>1</v>
      </c>
      <c r="T22">
        <v>718</v>
      </c>
      <c r="U22">
        <f t="shared" si="1"/>
        <v>1</v>
      </c>
      <c r="V22" s="6">
        <v>2862743</v>
      </c>
      <c r="W22" s="6"/>
      <c r="X22" s="6"/>
      <c r="Y22" s="6"/>
    </row>
    <row r="23" spans="1:26">
      <c r="A23" s="7" t="s">
        <v>119</v>
      </c>
      <c r="B23" t="s">
        <v>120</v>
      </c>
      <c r="C23" t="s">
        <v>121</v>
      </c>
      <c r="D23" t="s">
        <v>122</v>
      </c>
      <c r="E23" t="s">
        <v>123</v>
      </c>
      <c r="F23">
        <v>696</v>
      </c>
      <c r="G23">
        <v>669</v>
      </c>
      <c r="H23" s="6">
        <v>2820253</v>
      </c>
      <c r="I23" s="6">
        <v>2721176</v>
      </c>
      <c r="K23" t="s">
        <v>124</v>
      </c>
      <c r="L23">
        <v>-91.443470000000005</v>
      </c>
      <c r="M23">
        <v>37.976059999999997</v>
      </c>
      <c r="N23">
        <v>-89.227699999999999</v>
      </c>
      <c r="O23">
        <v>39.54851</v>
      </c>
      <c r="P23" s="3" t="b">
        <v>1</v>
      </c>
      <c r="Q23" s="3" t="b">
        <v>1</v>
      </c>
      <c r="R23" s="3" t="b">
        <v>1</v>
      </c>
      <c r="S23" s="3" t="b">
        <v>1</v>
      </c>
      <c r="T23">
        <v>667</v>
      </c>
      <c r="U23">
        <f t="shared" si="1"/>
        <v>2</v>
      </c>
      <c r="V23" s="6">
        <v>2714654</v>
      </c>
      <c r="W23" s="6"/>
      <c r="X23" s="6"/>
      <c r="Y23" s="6"/>
    </row>
    <row r="24" spans="1:26">
      <c r="A24" s="7" t="s">
        <v>125</v>
      </c>
      <c r="B24" t="s">
        <v>66</v>
      </c>
      <c r="C24" t="s">
        <v>66</v>
      </c>
      <c r="D24" t="s">
        <v>126</v>
      </c>
      <c r="E24" t="s">
        <v>127</v>
      </c>
      <c r="F24">
        <v>491</v>
      </c>
      <c r="G24">
        <v>489</v>
      </c>
      <c r="H24" s="6">
        <v>2682172</v>
      </c>
      <c r="I24" s="6">
        <v>2678397</v>
      </c>
      <c r="L24">
        <v>-81.975300000000004</v>
      </c>
      <c r="M24">
        <v>27.62181</v>
      </c>
      <c r="N24">
        <v>-80.843310000000002</v>
      </c>
      <c r="O24">
        <v>29.06953</v>
      </c>
      <c r="P24" s="3" t="b">
        <v>1</v>
      </c>
      <c r="Q24" s="3" t="b">
        <v>1</v>
      </c>
      <c r="R24" s="3" t="b">
        <v>1</v>
      </c>
      <c r="S24" s="3" t="b">
        <v>1</v>
      </c>
      <c r="T24">
        <v>480</v>
      </c>
      <c r="U24">
        <f t="shared" si="1"/>
        <v>9</v>
      </c>
      <c r="V24" s="6">
        <v>2627043</v>
      </c>
      <c r="W24" s="6"/>
      <c r="X24" s="6"/>
      <c r="Y24" s="6"/>
    </row>
    <row r="25" spans="1:26">
      <c r="A25" s="7" t="s">
        <v>128</v>
      </c>
      <c r="B25" t="s">
        <v>129</v>
      </c>
      <c r="C25" t="s">
        <v>130</v>
      </c>
      <c r="D25" t="s">
        <v>131</v>
      </c>
      <c r="E25" t="s">
        <v>132</v>
      </c>
      <c r="F25">
        <v>677</v>
      </c>
      <c r="G25">
        <v>666</v>
      </c>
      <c r="H25" s="6">
        <v>2660329</v>
      </c>
      <c r="I25" s="6">
        <v>2627184</v>
      </c>
      <c r="J25" s="4" t="s">
        <v>64</v>
      </c>
      <c r="L25">
        <v>-81.559640000000002</v>
      </c>
      <c r="M25">
        <v>34.438189999999999</v>
      </c>
      <c r="N25">
        <v>-79.829669999999993</v>
      </c>
      <c r="O25">
        <v>36.077440000000003</v>
      </c>
      <c r="P25" s="3" t="b">
        <v>1</v>
      </c>
      <c r="Q25" s="3" t="b">
        <v>1</v>
      </c>
      <c r="R25" s="3" t="b">
        <v>1</v>
      </c>
      <c r="S25" s="3" t="b">
        <v>1</v>
      </c>
      <c r="T25">
        <v>666</v>
      </c>
      <c r="U25">
        <f t="shared" si="1"/>
        <v>0</v>
      </c>
      <c r="V25" s="6">
        <v>2627184</v>
      </c>
      <c r="W25" s="6"/>
      <c r="X25" s="6"/>
      <c r="Y25" s="6"/>
    </row>
    <row r="26" spans="1:26">
      <c r="A26" s="7" t="s">
        <v>133</v>
      </c>
      <c r="B26" t="s">
        <v>134</v>
      </c>
      <c r="C26" t="s">
        <v>135</v>
      </c>
      <c r="D26" t="s">
        <v>136</v>
      </c>
      <c r="E26" t="s">
        <v>137</v>
      </c>
      <c r="F26">
        <v>568</v>
      </c>
      <c r="G26">
        <v>561</v>
      </c>
      <c r="H26" s="6">
        <v>2512859</v>
      </c>
      <c r="I26" s="6">
        <v>2487467</v>
      </c>
      <c r="J26" s="4" t="s">
        <v>64</v>
      </c>
      <c r="L26">
        <v>-123.53140999999999</v>
      </c>
      <c r="M26">
        <v>44.862340000000003</v>
      </c>
      <c r="N26">
        <v>-121.47761</v>
      </c>
      <c r="O26">
        <v>46.41648</v>
      </c>
      <c r="P26" s="3" t="b">
        <v>1</v>
      </c>
      <c r="Q26" s="3" t="b">
        <v>1</v>
      </c>
      <c r="R26" s="3" t="b">
        <v>1</v>
      </c>
      <c r="S26" s="3" t="b">
        <v>1</v>
      </c>
      <c r="T26">
        <v>560</v>
      </c>
      <c r="U26">
        <f t="shared" si="1"/>
        <v>1</v>
      </c>
      <c r="V26" s="6">
        <v>2481093</v>
      </c>
      <c r="W26" s="6"/>
      <c r="X26" s="6"/>
      <c r="Y26" s="6"/>
    </row>
    <row r="27" spans="1:26">
      <c r="A27" s="7" t="s">
        <v>138</v>
      </c>
      <c r="B27" t="s">
        <v>46</v>
      </c>
      <c r="C27" t="s">
        <v>46</v>
      </c>
      <c r="D27" t="s">
        <v>139</v>
      </c>
      <c r="E27" t="s">
        <v>140</v>
      </c>
      <c r="F27">
        <v>501</v>
      </c>
      <c r="G27">
        <v>478</v>
      </c>
      <c r="H27" s="6">
        <v>2558143</v>
      </c>
      <c r="I27" s="6">
        <v>2472972</v>
      </c>
      <c r="L27">
        <v>-99.289649999999995</v>
      </c>
      <c r="M27">
        <v>28.59207</v>
      </c>
      <c r="N27">
        <v>-97.687370000000001</v>
      </c>
      <c r="O27">
        <v>29.992650000000001</v>
      </c>
      <c r="P27" s="3" t="b">
        <v>1</v>
      </c>
      <c r="Q27" s="3" t="b">
        <v>1</v>
      </c>
      <c r="R27" s="3" t="b">
        <v>1</v>
      </c>
      <c r="S27" s="3" t="b">
        <v>1</v>
      </c>
      <c r="T27">
        <v>474</v>
      </c>
      <c r="U27">
        <f t="shared" si="1"/>
        <v>4</v>
      </c>
      <c r="V27" s="6">
        <v>2459044</v>
      </c>
      <c r="W27" s="6"/>
      <c r="X27" s="6"/>
      <c r="Y27" s="6"/>
    </row>
    <row r="28" spans="1:26">
      <c r="A28" s="22" t="s">
        <v>141</v>
      </c>
      <c r="B28" s="21" t="s">
        <v>37</v>
      </c>
      <c r="C28" s="21" t="s">
        <v>37</v>
      </c>
      <c r="D28" t="s">
        <v>142</v>
      </c>
      <c r="E28" t="s">
        <v>143</v>
      </c>
      <c r="F28">
        <v>563</v>
      </c>
      <c r="G28">
        <v>545</v>
      </c>
      <c r="H28" s="6">
        <v>2397382</v>
      </c>
      <c r="I28" s="6">
        <v>2360202</v>
      </c>
      <c r="J28" s="4"/>
      <c r="K28" s="4" t="s">
        <v>144</v>
      </c>
      <c r="L28">
        <v>-122.08374000000001</v>
      </c>
      <c r="M28">
        <v>38.1098</v>
      </c>
      <c r="N28">
        <v>-119.85838</v>
      </c>
      <c r="O28">
        <v>39.320639999999997</v>
      </c>
      <c r="P28" s="3" t="b">
        <v>1</v>
      </c>
      <c r="Q28" s="3" t="b">
        <v>1</v>
      </c>
      <c r="R28" s="3" t="b">
        <v>1</v>
      </c>
      <c r="S28" s="3" t="b">
        <v>1</v>
      </c>
      <c r="T28">
        <v>544</v>
      </c>
      <c r="U28">
        <f t="shared" si="1"/>
        <v>1</v>
      </c>
      <c r="V28" s="6">
        <v>2357384</v>
      </c>
      <c r="W28" s="6"/>
      <c r="X28" s="6"/>
      <c r="Y28" s="6"/>
    </row>
    <row r="29" spans="1:26">
      <c r="A29" s="7" t="s">
        <v>145</v>
      </c>
      <c r="B29" t="s">
        <v>60</v>
      </c>
      <c r="C29" t="s">
        <v>60</v>
      </c>
      <c r="D29" t="s">
        <v>146</v>
      </c>
      <c r="E29" t="s">
        <v>147</v>
      </c>
      <c r="F29">
        <v>724</v>
      </c>
      <c r="G29">
        <v>712</v>
      </c>
      <c r="H29" s="6">
        <v>2370930</v>
      </c>
      <c r="I29" s="6">
        <v>2326704</v>
      </c>
      <c r="L29">
        <v>-80.532730000000001</v>
      </c>
      <c r="M29">
        <v>39.701599999999999</v>
      </c>
      <c r="N29">
        <v>-78.951449999999994</v>
      </c>
      <c r="O29">
        <v>41.121259999999999</v>
      </c>
      <c r="P29" s="3" t="b">
        <v>1</v>
      </c>
      <c r="Q29" s="3" t="b">
        <v>1</v>
      </c>
      <c r="R29" s="3" t="b">
        <v>1</v>
      </c>
      <c r="S29" s="3" t="b">
        <v>1</v>
      </c>
      <c r="T29">
        <v>712</v>
      </c>
      <c r="U29">
        <f t="shared" si="1"/>
        <v>0</v>
      </c>
      <c r="V29" s="6">
        <v>2326704</v>
      </c>
      <c r="W29" s="6"/>
      <c r="X29" s="6"/>
      <c r="Y29" s="6"/>
    </row>
    <row r="30" spans="1:26">
      <c r="A30" s="7" t="s">
        <v>148</v>
      </c>
      <c r="B30" t="s">
        <v>46</v>
      </c>
      <c r="C30" t="s">
        <v>46</v>
      </c>
      <c r="D30" t="s">
        <v>149</v>
      </c>
      <c r="E30" t="s">
        <v>150</v>
      </c>
      <c r="F30">
        <v>503</v>
      </c>
      <c r="G30">
        <v>496</v>
      </c>
      <c r="H30" s="6">
        <v>2283371</v>
      </c>
      <c r="I30" s="6">
        <v>2260364</v>
      </c>
      <c r="J30" s="4" t="s">
        <v>64</v>
      </c>
      <c r="L30">
        <v>-98.308840000000004</v>
      </c>
      <c r="M30">
        <v>29.610479999999999</v>
      </c>
      <c r="N30">
        <v>-97.006839999999997</v>
      </c>
      <c r="O30">
        <v>30.926490000000001</v>
      </c>
      <c r="P30" s="3" t="b">
        <v>1</v>
      </c>
      <c r="Q30" s="3" t="b">
        <v>1</v>
      </c>
      <c r="R30" s="3" t="b">
        <v>1</v>
      </c>
      <c r="S30" s="3" t="b">
        <v>1</v>
      </c>
      <c r="T30">
        <v>488</v>
      </c>
      <c r="U30">
        <f>G30-T30</f>
        <v>8</v>
      </c>
      <c r="V30" s="6">
        <v>2212076</v>
      </c>
      <c r="W30" s="6"/>
      <c r="X30" s="6"/>
      <c r="Y30" s="6"/>
    </row>
    <row r="31" spans="1:26">
      <c r="A31" s="7" t="s">
        <v>151</v>
      </c>
      <c r="B31" t="s">
        <v>152</v>
      </c>
      <c r="C31" t="s">
        <v>152</v>
      </c>
      <c r="D31" t="s">
        <v>153</v>
      </c>
      <c r="E31" t="s">
        <v>154</v>
      </c>
      <c r="F31">
        <v>535</v>
      </c>
      <c r="G31">
        <v>529</v>
      </c>
      <c r="H31" s="6">
        <v>2265461</v>
      </c>
      <c r="I31" s="6">
        <v>2252150</v>
      </c>
      <c r="J31" s="4" t="s">
        <v>64</v>
      </c>
      <c r="L31">
        <v>-115.91132</v>
      </c>
      <c r="M31">
        <v>35.587690000000002</v>
      </c>
      <c r="N31">
        <v>-114.02500999999999</v>
      </c>
      <c r="O31">
        <v>36.86739</v>
      </c>
      <c r="P31" s="3" t="b">
        <v>1</v>
      </c>
      <c r="Q31" s="3" t="b">
        <v>1</v>
      </c>
      <c r="R31" s="3" t="b">
        <v>1</v>
      </c>
      <c r="S31" s="3" t="b">
        <v>1</v>
      </c>
      <c r="T31">
        <v>526</v>
      </c>
      <c r="U31">
        <f t="shared" si="1"/>
        <v>3</v>
      </c>
      <c r="V31" s="6">
        <v>2238291</v>
      </c>
      <c r="W31" s="6"/>
      <c r="X31" s="6"/>
      <c r="Y31" s="6"/>
    </row>
    <row r="32" spans="1:26">
      <c r="A32" s="7" t="s">
        <v>155</v>
      </c>
      <c r="B32" t="s">
        <v>156</v>
      </c>
      <c r="C32" t="s">
        <v>157</v>
      </c>
      <c r="D32" t="s">
        <v>158</v>
      </c>
      <c r="E32" t="s">
        <v>159</v>
      </c>
      <c r="F32">
        <v>552</v>
      </c>
      <c r="G32">
        <v>543</v>
      </c>
      <c r="H32" s="6">
        <v>2256884</v>
      </c>
      <c r="I32" s="6">
        <v>2224906</v>
      </c>
      <c r="L32">
        <v>-85.15831</v>
      </c>
      <c r="M32">
        <v>38.453989999999997</v>
      </c>
      <c r="N32">
        <v>-83.656120000000001</v>
      </c>
      <c r="O32">
        <v>39.662750000000003</v>
      </c>
      <c r="P32" s="3" t="b">
        <v>1</v>
      </c>
      <c r="Q32" s="3" t="b">
        <v>1</v>
      </c>
      <c r="R32" s="3" t="b">
        <v>1</v>
      </c>
      <c r="S32" s="3" t="b">
        <v>1</v>
      </c>
      <c r="T32">
        <v>543</v>
      </c>
      <c r="U32">
        <f t="shared" si="1"/>
        <v>0</v>
      </c>
      <c r="V32" s="6">
        <v>2224906</v>
      </c>
      <c r="W32" s="6"/>
      <c r="X32" s="6"/>
      <c r="Y32" s="6"/>
    </row>
    <row r="33" spans="1:26">
      <c r="A33" s="7" t="s">
        <v>160</v>
      </c>
      <c r="B33" t="s">
        <v>156</v>
      </c>
      <c r="C33" t="s">
        <v>156</v>
      </c>
      <c r="D33" t="s">
        <v>161</v>
      </c>
      <c r="E33" t="s">
        <v>162</v>
      </c>
      <c r="F33">
        <v>644</v>
      </c>
      <c r="G33">
        <v>634</v>
      </c>
      <c r="H33" s="6">
        <v>2175080</v>
      </c>
      <c r="I33" s="6">
        <v>2134696</v>
      </c>
      <c r="J33" t="s">
        <v>163</v>
      </c>
      <c r="L33">
        <v>-82.366889999999998</v>
      </c>
      <c r="M33">
        <v>40.969169999999998</v>
      </c>
      <c r="N33">
        <v>-80.987110000000001</v>
      </c>
      <c r="O33">
        <v>41.874169999999999</v>
      </c>
      <c r="P33" s="3" t="b">
        <v>1</v>
      </c>
      <c r="Q33" s="3" t="b">
        <v>1</v>
      </c>
      <c r="R33" s="3" t="b">
        <v>1</v>
      </c>
      <c r="S33" s="3" t="b">
        <v>1</v>
      </c>
      <c r="T33">
        <v>634</v>
      </c>
      <c r="U33">
        <f t="shared" si="1"/>
        <v>0</v>
      </c>
      <c r="V33" s="6">
        <v>2134696</v>
      </c>
      <c r="W33" s="6"/>
      <c r="X33" s="6"/>
      <c r="Y33" s="6"/>
    </row>
    <row r="34" spans="1:26">
      <c r="A34" s="7" t="s">
        <v>164</v>
      </c>
      <c r="B34" t="s">
        <v>120</v>
      </c>
      <c r="C34" t="s">
        <v>165</v>
      </c>
      <c r="D34" t="s">
        <v>166</v>
      </c>
      <c r="E34" t="s">
        <v>167</v>
      </c>
      <c r="F34">
        <v>607</v>
      </c>
      <c r="G34">
        <v>579</v>
      </c>
      <c r="H34" s="6">
        <v>2192035</v>
      </c>
      <c r="I34" s="6">
        <v>2110461</v>
      </c>
      <c r="L34">
        <v>-95.205789999999993</v>
      </c>
      <c r="M34">
        <v>38.035490000000003</v>
      </c>
      <c r="N34">
        <v>-93.855350000000001</v>
      </c>
      <c r="O34">
        <v>39.768880000000003</v>
      </c>
      <c r="P34" s="3" t="b">
        <v>1</v>
      </c>
      <c r="Q34" s="3" t="b">
        <v>1</v>
      </c>
      <c r="R34" s="3" t="b">
        <v>1</v>
      </c>
      <c r="S34" s="3" t="b">
        <v>1</v>
      </c>
      <c r="T34">
        <v>579</v>
      </c>
      <c r="U34">
        <f t="shared" si="1"/>
        <v>0</v>
      </c>
      <c r="V34" s="6">
        <v>2110461</v>
      </c>
      <c r="W34" s="6"/>
      <c r="X34" s="6"/>
      <c r="Y34" s="6"/>
    </row>
    <row r="35" spans="1:26">
      <c r="A35" s="7" t="s">
        <v>168</v>
      </c>
      <c r="B35" t="s">
        <v>169</v>
      </c>
      <c r="C35" t="s">
        <v>169</v>
      </c>
      <c r="D35" t="s">
        <v>170</v>
      </c>
      <c r="E35" t="s">
        <v>171</v>
      </c>
      <c r="F35">
        <v>475</v>
      </c>
      <c r="G35">
        <v>470</v>
      </c>
      <c r="H35" s="6">
        <v>2111040</v>
      </c>
      <c r="I35" s="6">
        <v>2092686</v>
      </c>
      <c r="K35" t="s">
        <v>172</v>
      </c>
      <c r="L35">
        <v>-87.032439999999994</v>
      </c>
      <c r="M35">
        <v>39.028910000000003</v>
      </c>
      <c r="N35">
        <v>-85.561210000000003</v>
      </c>
      <c r="O35">
        <v>40.401069999999997</v>
      </c>
      <c r="P35" s="3" t="b">
        <v>1</v>
      </c>
      <c r="Q35" s="3" t="b">
        <v>1</v>
      </c>
      <c r="R35" s="3" t="b">
        <v>1</v>
      </c>
      <c r="S35" s="3" t="b">
        <v>1</v>
      </c>
      <c r="T35">
        <v>470</v>
      </c>
      <c r="U35">
        <f>G35-T35</f>
        <v>0</v>
      </c>
      <c r="V35" s="6">
        <v>2092686</v>
      </c>
      <c r="W35" s="6"/>
      <c r="X35" s="6"/>
      <c r="Y35" s="6"/>
    </row>
    <row r="36" spans="1:26">
      <c r="A36" s="22" t="s">
        <v>173</v>
      </c>
      <c r="B36" t="s">
        <v>156</v>
      </c>
      <c r="C36" t="s">
        <v>156</v>
      </c>
      <c r="D36" t="s">
        <v>174</v>
      </c>
      <c r="E36" t="s">
        <v>175</v>
      </c>
      <c r="F36">
        <v>516</v>
      </c>
      <c r="G36">
        <v>502</v>
      </c>
      <c r="H36" s="6">
        <v>2138926</v>
      </c>
      <c r="I36" s="6">
        <v>2083274</v>
      </c>
      <c r="J36" t="s">
        <v>176</v>
      </c>
      <c r="L36">
        <v>-83.570959999999999</v>
      </c>
      <c r="M36">
        <v>39.448970000000003</v>
      </c>
      <c r="N36">
        <v>-82.051609999999997</v>
      </c>
      <c r="O36">
        <v>40.73424</v>
      </c>
      <c r="P36" s="3" t="b">
        <v>1</v>
      </c>
      <c r="Q36" s="3" t="b">
        <v>1</v>
      </c>
      <c r="R36" s="3" t="b">
        <v>1</v>
      </c>
      <c r="S36" s="3" t="b">
        <v>1</v>
      </c>
      <c r="T36">
        <v>502</v>
      </c>
      <c r="U36">
        <f>G36-T36</f>
        <v>0</v>
      </c>
      <c r="V36" s="6">
        <v>2083274</v>
      </c>
      <c r="W36" s="6"/>
      <c r="X36" s="6"/>
      <c r="Y36" s="6"/>
    </row>
    <row r="37" spans="1:26">
      <c r="A37" s="7" t="s">
        <v>177</v>
      </c>
      <c r="B37" t="s">
        <v>37</v>
      </c>
      <c r="C37" t="s">
        <v>37</v>
      </c>
      <c r="D37" t="s">
        <v>178</v>
      </c>
      <c r="E37" t="s">
        <v>179</v>
      </c>
      <c r="F37">
        <v>420</v>
      </c>
      <c r="G37">
        <v>416</v>
      </c>
      <c r="H37" s="6">
        <v>2000468</v>
      </c>
      <c r="I37" s="6">
        <v>1981226</v>
      </c>
      <c r="K37" s="4" t="s">
        <v>144</v>
      </c>
      <c r="L37">
        <v>-122.21433</v>
      </c>
      <c r="M37">
        <v>36.770249999999997</v>
      </c>
      <c r="N37">
        <v>-121.19394</v>
      </c>
      <c r="O37">
        <v>37.503790000000002</v>
      </c>
      <c r="P37" s="3" t="b">
        <v>1</v>
      </c>
      <c r="Q37" s="3" t="b">
        <v>1</v>
      </c>
      <c r="R37" s="3" t="b">
        <v>1</v>
      </c>
      <c r="S37" s="3" t="b">
        <v>1</v>
      </c>
      <c r="T37">
        <v>414</v>
      </c>
      <c r="U37">
        <f>G37-T37</f>
        <v>2</v>
      </c>
      <c r="V37" s="6">
        <v>1975476</v>
      </c>
      <c r="W37" s="6"/>
      <c r="X37" s="6"/>
      <c r="Y37" s="6"/>
    </row>
    <row r="38" spans="1:26">
      <c r="A38" s="7" t="s">
        <v>180</v>
      </c>
      <c r="B38" t="s">
        <v>181</v>
      </c>
      <c r="C38" t="s">
        <v>181</v>
      </c>
      <c r="D38" t="s">
        <v>182</v>
      </c>
      <c r="E38" t="s">
        <v>183</v>
      </c>
      <c r="F38">
        <v>427</v>
      </c>
      <c r="G38">
        <v>420</v>
      </c>
      <c r="H38" s="6">
        <v>1989519</v>
      </c>
      <c r="I38" s="6">
        <v>1956869</v>
      </c>
      <c r="L38">
        <v>-87.579130000000006</v>
      </c>
      <c r="M38">
        <v>35.389330000000001</v>
      </c>
      <c r="N38">
        <v>-85.766660000000002</v>
      </c>
      <c r="O38">
        <v>36.67557</v>
      </c>
      <c r="P38" s="3" t="b">
        <v>1</v>
      </c>
      <c r="Q38" s="3" t="b">
        <v>1</v>
      </c>
      <c r="R38" s="3" t="b">
        <v>1</v>
      </c>
      <c r="S38" s="3" t="b">
        <v>1</v>
      </c>
      <c r="T38">
        <v>418</v>
      </c>
      <c r="U38">
        <f>G38-T38</f>
        <v>2</v>
      </c>
      <c r="V38" s="6">
        <v>1951070</v>
      </c>
      <c r="W38" s="6"/>
      <c r="X38" s="6"/>
      <c r="Y38" s="6"/>
    </row>
    <row r="39" spans="1:26">
      <c r="A39" s="7" t="s">
        <v>184</v>
      </c>
      <c r="B39" t="s">
        <v>185</v>
      </c>
      <c r="C39" t="s">
        <v>186</v>
      </c>
      <c r="D39" t="s">
        <v>187</v>
      </c>
      <c r="E39" t="s">
        <v>188</v>
      </c>
      <c r="F39">
        <v>485</v>
      </c>
      <c r="G39">
        <v>474</v>
      </c>
      <c r="H39" s="6">
        <v>1799674</v>
      </c>
      <c r="I39" s="6">
        <v>1769465</v>
      </c>
      <c r="K39" t="s">
        <v>85</v>
      </c>
      <c r="L39">
        <v>-77.378380000000007</v>
      </c>
      <c r="M39">
        <v>36.052549999999997</v>
      </c>
      <c r="N39">
        <v>-75.760409999999993</v>
      </c>
      <c r="O39">
        <v>37.625590000000003</v>
      </c>
      <c r="P39" s="3" t="b">
        <v>1</v>
      </c>
      <c r="Q39" s="3" t="b">
        <v>1</v>
      </c>
      <c r="R39" s="3" t="b">
        <v>1</v>
      </c>
      <c r="S39" s="3" t="b">
        <v>1</v>
      </c>
      <c r="T39">
        <v>467</v>
      </c>
      <c r="U39">
        <f>G39-T39</f>
        <v>7</v>
      </c>
      <c r="V39" s="6">
        <v>1745658</v>
      </c>
      <c r="W39" s="6"/>
      <c r="X39" s="6"/>
      <c r="Y39" s="6"/>
    </row>
    <row r="40" spans="1:26">
      <c r="A40" s="7" t="s">
        <v>189</v>
      </c>
      <c r="B40" t="s">
        <v>66</v>
      </c>
      <c r="C40" t="s">
        <v>66</v>
      </c>
      <c r="D40" t="s">
        <v>190</v>
      </c>
      <c r="E40" t="s">
        <v>191</v>
      </c>
      <c r="F40">
        <v>340</v>
      </c>
      <c r="G40">
        <v>336</v>
      </c>
      <c r="H40" s="6">
        <v>1605848</v>
      </c>
      <c r="I40" s="6">
        <v>1597184</v>
      </c>
      <c r="J40" t="s">
        <v>57</v>
      </c>
      <c r="L40">
        <v>-82.475279999999998</v>
      </c>
      <c r="M40">
        <v>29.602070000000001</v>
      </c>
      <c r="N40">
        <v>-81.196799999999996</v>
      </c>
      <c r="O40">
        <v>30.851849999999999</v>
      </c>
      <c r="P40" s="3" t="b">
        <v>1</v>
      </c>
      <c r="Q40" s="3" t="b">
        <v>1</v>
      </c>
      <c r="R40" s="3" t="b">
        <v>1</v>
      </c>
      <c r="S40" s="3" t="b">
        <v>1</v>
      </c>
      <c r="T40">
        <v>333</v>
      </c>
      <c r="U40">
        <f t="shared" ref="U35:U44" si="2">G40-T40</f>
        <v>3</v>
      </c>
      <c r="V40" s="6">
        <v>1581310</v>
      </c>
      <c r="W40" s="6"/>
      <c r="X40" s="6"/>
      <c r="Y40" s="6"/>
    </row>
    <row r="41" spans="1:26">
      <c r="A41" s="7" t="s">
        <v>192</v>
      </c>
      <c r="B41" t="s">
        <v>193</v>
      </c>
      <c r="C41" t="s">
        <v>194</v>
      </c>
      <c r="D41" t="s">
        <v>195</v>
      </c>
      <c r="E41" t="s">
        <v>195</v>
      </c>
      <c r="F41">
        <v>382</v>
      </c>
      <c r="G41">
        <v>382</v>
      </c>
      <c r="H41" s="6">
        <v>1701825</v>
      </c>
      <c r="I41" s="6">
        <v>1701825</v>
      </c>
      <c r="K41" s="4" t="s">
        <v>97</v>
      </c>
      <c r="L41">
        <v>-71.880849999999995</v>
      </c>
      <c r="M41">
        <v>41.287750000000003</v>
      </c>
      <c r="N41">
        <v>-70.8001</v>
      </c>
      <c r="O41">
        <v>42.145090000000003</v>
      </c>
      <c r="P41" s="3" t="b">
        <v>1</v>
      </c>
      <c r="Q41" s="3" t="b">
        <v>1</v>
      </c>
      <c r="R41" s="3" t="b">
        <v>1</v>
      </c>
      <c r="S41" s="3" t="b">
        <v>1</v>
      </c>
      <c r="T41">
        <v>382</v>
      </c>
      <c r="U41">
        <f t="shared" si="2"/>
        <v>0</v>
      </c>
      <c r="V41" s="6">
        <v>1701825</v>
      </c>
      <c r="W41" s="6"/>
      <c r="X41" s="6"/>
      <c r="Y41" s="6"/>
    </row>
    <row r="42" spans="1:26">
      <c r="A42" s="7" t="s">
        <v>196</v>
      </c>
      <c r="B42" t="s">
        <v>129</v>
      </c>
      <c r="C42" t="s">
        <v>129</v>
      </c>
      <c r="D42" t="s">
        <v>197</v>
      </c>
      <c r="E42" t="s">
        <v>198</v>
      </c>
      <c r="F42">
        <v>300</v>
      </c>
      <c r="G42">
        <v>295</v>
      </c>
      <c r="H42" s="6">
        <v>1416826</v>
      </c>
      <c r="I42" s="6">
        <v>1401193</v>
      </c>
      <c r="L42">
        <v>-79.007990000000007</v>
      </c>
      <c r="M42">
        <v>35.234699999999997</v>
      </c>
      <c r="N42">
        <v>-77.985290000000006</v>
      </c>
      <c r="O42">
        <v>36.286529999999999</v>
      </c>
      <c r="P42" s="3" t="b">
        <v>1</v>
      </c>
      <c r="Q42" s="3" t="b">
        <v>1</v>
      </c>
      <c r="R42" s="3" t="b">
        <v>1</v>
      </c>
      <c r="S42" s="3" t="b">
        <v>1</v>
      </c>
      <c r="T42">
        <v>295</v>
      </c>
      <c r="U42">
        <f t="shared" si="2"/>
        <v>0</v>
      </c>
      <c r="V42" s="6">
        <v>1401193</v>
      </c>
      <c r="W42" s="6"/>
      <c r="X42" s="6"/>
      <c r="Y42" s="6"/>
      <c r="Z42" t="s">
        <v>199</v>
      </c>
    </row>
    <row r="43" spans="1:26">
      <c r="A43" s="7" t="s">
        <v>200</v>
      </c>
      <c r="B43" t="s">
        <v>201</v>
      </c>
      <c r="C43" t="s">
        <v>201</v>
      </c>
      <c r="D43" t="s">
        <v>202</v>
      </c>
      <c r="E43" t="s">
        <v>203</v>
      </c>
      <c r="F43">
        <v>451</v>
      </c>
      <c r="G43">
        <v>449</v>
      </c>
      <c r="H43">
        <v>1577665</v>
      </c>
      <c r="I43">
        <v>1577665</v>
      </c>
      <c r="L43">
        <v>-88.556529999999995</v>
      </c>
      <c r="M43">
        <v>42.768560000000001</v>
      </c>
      <c r="N43">
        <v>-87.776330000000002</v>
      </c>
      <c r="O43">
        <v>43.55771</v>
      </c>
      <c r="P43" s="3" t="b">
        <v>1</v>
      </c>
      <c r="Q43" s="3" t="b">
        <v>1</v>
      </c>
      <c r="R43" s="3" t="b">
        <v>1</v>
      </c>
      <c r="S43" s="3" t="b">
        <v>1</v>
      </c>
      <c r="T43">
        <v>449</v>
      </c>
      <c r="U43">
        <f t="shared" si="2"/>
        <v>0</v>
      </c>
      <c r="V43" s="6">
        <v>1566592</v>
      </c>
    </row>
    <row r="44" spans="1:26">
      <c r="A44" s="18" t="s">
        <v>204</v>
      </c>
      <c r="B44" t="s">
        <v>205</v>
      </c>
      <c r="C44" t="s">
        <v>205</v>
      </c>
      <c r="D44" t="s">
        <v>206</v>
      </c>
      <c r="E44" t="s">
        <v>206</v>
      </c>
      <c r="F44">
        <v>419</v>
      </c>
      <c r="G44">
        <v>407</v>
      </c>
      <c r="H44">
        <v>1425695</v>
      </c>
      <c r="I44">
        <v>1386126</v>
      </c>
      <c r="L44">
        <v>-98.330749999999995</v>
      </c>
      <c r="M44">
        <v>34.661520000000003</v>
      </c>
      <c r="N44">
        <v>-96.663809999999998</v>
      </c>
      <c r="O44">
        <v>36.187130000000003</v>
      </c>
      <c r="P44" s="3" t="b">
        <v>1</v>
      </c>
      <c r="Q44" s="3" t="b">
        <v>1</v>
      </c>
      <c r="R44" s="3" t="b">
        <v>1</v>
      </c>
      <c r="S44" s="3" t="b">
        <v>1</v>
      </c>
      <c r="T44">
        <v>407</v>
      </c>
      <c r="U44">
        <f t="shared" si="2"/>
        <v>0</v>
      </c>
      <c r="V44" s="6">
        <v>1386126</v>
      </c>
      <c r="W44" s="6"/>
      <c r="X44" s="6"/>
      <c r="Y44" s="6"/>
    </row>
    <row r="45" spans="1:26">
      <c r="V45" s="6"/>
    </row>
    <row r="46" spans="1:26">
      <c r="I46" s="4">
        <f>SUM(I3:I42)</f>
        <v>169534606</v>
      </c>
      <c r="V46" s="6">
        <f>SUM(V3:V42)</f>
        <v>165873112</v>
      </c>
    </row>
    <row r="47" spans="1:26">
      <c r="I47" t="s">
        <v>207</v>
      </c>
    </row>
    <row r="48" spans="1:26">
      <c r="V48" s="19">
        <f>(V46/I53)</f>
        <v>0.51151170858154127</v>
      </c>
      <c r="W48" t="s">
        <v>208</v>
      </c>
    </row>
    <row r="49" spans="9:10">
      <c r="I49" s="6">
        <f>(SUM(H3:H30))-(SUM(I3:I30))</f>
        <v>1054958</v>
      </c>
    </row>
    <row r="52" spans="9:10">
      <c r="I52" t="s">
        <v>209</v>
      </c>
    </row>
    <row r="53" spans="9:10">
      <c r="I53" s="6">
        <v>324280186</v>
      </c>
      <c r="J53" t="s">
        <v>210</v>
      </c>
    </row>
    <row r="54" spans="9:10">
      <c r="I54" t="s">
        <v>211</v>
      </c>
    </row>
    <row r="55" spans="9:10">
      <c r="I55">
        <f>(I53/2)</f>
        <v>162140093</v>
      </c>
    </row>
  </sheetData>
  <sortState xmlns:xlrd2="http://schemas.microsoft.com/office/spreadsheetml/2017/richdata2" ref="A3:V42">
    <sortCondition descending="1" ref="I3:I42"/>
  </sortState>
  <mergeCells count="5">
    <mergeCell ref="A1:C1"/>
    <mergeCell ref="D1:I1"/>
    <mergeCell ref="L1:O1"/>
    <mergeCell ref="P1:Q1"/>
    <mergeCell ref="R1:Y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2026-09-24T19:22:59Z</dcterms:created>
  <dcterms:modified xsi:type="dcterms:W3CDTF">2026-10-27T21:07:45Z</dcterms:modified>
  <cp:category/>
  <cp:contentStatus/>
</cp:coreProperties>
</file>